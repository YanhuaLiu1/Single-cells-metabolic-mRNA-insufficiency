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60" firstSheet="2" activeTab="4"/>
  </bookViews>
  <sheets>
    <sheet name="Sheet1" sheetId="7" r:id="rId1"/>
    <sheet name="Sheet6" sheetId="12" r:id="rId2"/>
    <sheet name="Sheet5" sheetId="11" r:id="rId3"/>
    <sheet name="Glycolysis_enzyme_Huh1" sheetId="8" r:id="rId4"/>
    <sheet name="Glycolysis_enzyme_Huh7" sheetId="9" r:id="rId5"/>
    <sheet name="Glycolysis_enzyme_Patient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<sst xmlns="http://schemas.openxmlformats.org/spreadsheetml/2006/main" count="44" uniqueCount="29">
  <si>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Enzyme active number</t>
  </si>
  <si>
    <t>Cell number proportion (Huh1)</t>
  </si>
  <si>
    <t>Cell number proportion (Huh7)</t>
  </si>
  <si>
    <t>Cell number proportion (Patient)</t>
  </si>
  <si>
    <t>Cell number proportion (Non-cancerous)</t>
  </si>
  <si>
    <t>Reaction_id</t>
  </si>
  <si>
    <t>Huh1</t>
  </si>
  <si>
    <t>Huh7</t>
  </si>
  <si>
    <t>Patient</t>
  </si>
  <si>
    <t>Non-cancerous</t>
  </si>
  <si>
    <t>HXK</t>
  </si>
  <si>
    <t>GPI</t>
  </si>
  <si>
    <t>PFK</t>
  </si>
  <si>
    <t>ALD</t>
  </si>
  <si>
    <t>TPI1</t>
  </si>
  <si>
    <t>GAPDH</t>
  </si>
  <si>
    <t>PGK</t>
  </si>
  <si>
    <t>PGAM</t>
  </si>
  <si>
    <t>ENO</t>
  </si>
  <si>
    <t>PYK</t>
  </si>
  <si>
    <t>Whole_pathway</t>
  </si>
  <si>
    <t>Huh1_activation_ratio</t>
  </si>
  <si>
    <t>Huh7_activation_ratio</t>
  </si>
  <si>
    <t>Patient_activation_ratio</t>
  </si>
  <si>
    <t>Non-cancerous_activation_ratio</t>
  </si>
  <si>
    <t>HEX1</t>
  </si>
  <si>
    <t>FBA</t>
  </si>
  <si>
    <t>GAPD</t>
  </si>
  <si>
    <t>PGM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</si>
</sst>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Times New Roman Regular"/>
      <charset val="134"/>
    </font>
    <font>
      <b/>
      <sz val="11"/>
      <color theme="1"/>
      <name val="Times New Roman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Sheet5!$C$2</c:f>
              <c:strCache>
                <c:ptCount val="1"/>
                <c:pt idx="0">
                  <c:v>Huh1_activation_ratio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Sheet5!$B$3:$B$13</c:f>
              <c:strCache>
                <c:ptCount val="11"/>
                <c:pt idx="0">
                  <c:v>HEX1</c:v>
                </c:pt>
                <c:pt idx="1">
                  <c:v>GPI</c:v>
                </c:pt>
                <c:pt idx="2">
                  <c:v>PFK</c:v>
                </c:pt>
                <c:pt idx="3">
                  <c:v>FBA</c:v>
                </c:pt>
                <c:pt idx="4">
                  <c:v>TPI1</c:v>
                </c:pt>
                <c:pt idx="5">
                  <c:v>GAPD</c:v>
                </c:pt>
                <c:pt idx="6">
                  <c:v>PGK</c:v>
                </c:pt>
                <c:pt idx="7">
                  <c:v>PGM</c:v>
                </c:pt>
                <c:pt idx="8">
                  <c:v>ENO</c:v>
                </c:pt>
                <c:pt idx="9">
                  <c:v>PYK</c:v>
                </c:pt>
                <c:pt idx="10">
                  <c:v>Whole_pathway</c:v>
                </c:pt>
              </c:strCache>
            </c:strRef>
          </c:cat>
          <c:val>
            <c:numRef>
              <c:f>Sheet5!$C$3:$C$13</c:f>
              <c:numCache>
                <c:formatCode>General</c:formatCode>
                <c:ptCount val="11"/>
                <c:pt idx="0">
                  <c:v>0.387024608501119</c:v>
                </c:pt>
                <c:pt idx="1">
                  <c:v>0.79082774049217</c:v>
                </c:pt>
                <c:pt idx="2">
                  <c:v>0.473154362416107</c:v>
                </c:pt>
                <c:pt idx="3">
                  <c:v>0.98993288590604</c:v>
                </c:pt>
                <c:pt idx="4">
                  <c:v>0.998881431767338</c:v>
                </c:pt>
                <c:pt idx="5">
                  <c:v>1</c:v>
                </c:pt>
                <c:pt idx="6">
                  <c:v>0.894854586129754</c:v>
                </c:pt>
                <c:pt idx="7">
                  <c:v>0.930648769574944</c:v>
                </c:pt>
                <c:pt idx="8">
                  <c:v>0.994407158836689</c:v>
                </c:pt>
                <c:pt idx="9">
                  <c:v>0.982102908277405</c:v>
                </c:pt>
                <c:pt idx="10">
                  <c:v>0.152125279642058</c:v>
                </c:pt>
              </c:numCache>
            </c:numRef>
          </c:val>
        </c:ser>
        <c:ser>
          <c:idx val="1"/>
          <c:order val="1"/>
          <c:tx>
            <c:strRef>
              <c:f>Sheet5!$D$2</c:f>
              <c:strCache>
                <c:ptCount val="1"/>
                <c:pt idx="0">
                  <c:v>Huh7_activation_ratio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Sheet5!$B$3:$B$13</c:f>
              <c:strCache>
                <c:ptCount val="11"/>
                <c:pt idx="0">
                  <c:v>HEX1</c:v>
                </c:pt>
                <c:pt idx="1">
                  <c:v>GPI</c:v>
                </c:pt>
                <c:pt idx="2">
                  <c:v>PFK</c:v>
                </c:pt>
                <c:pt idx="3">
                  <c:v>FBA</c:v>
                </c:pt>
                <c:pt idx="4">
                  <c:v>TPI1</c:v>
                </c:pt>
                <c:pt idx="5">
                  <c:v>GAPD</c:v>
                </c:pt>
                <c:pt idx="6">
                  <c:v>PGK</c:v>
                </c:pt>
                <c:pt idx="7">
                  <c:v>PGM</c:v>
                </c:pt>
                <c:pt idx="8">
                  <c:v>ENO</c:v>
                </c:pt>
                <c:pt idx="9">
                  <c:v>PYK</c:v>
                </c:pt>
                <c:pt idx="10">
                  <c:v>Whole_pathway</c:v>
                </c:pt>
              </c:strCache>
            </c:strRef>
          </c:cat>
          <c:val>
            <c:numRef>
              <c:f>Sheet5!$D$3:$D$13</c:f>
              <c:numCache>
                <c:formatCode>General</c:formatCode>
                <c:ptCount val="11"/>
                <c:pt idx="0">
                  <c:v>0.122478386167147</c:v>
                </c:pt>
                <c:pt idx="1">
                  <c:v>0.38568683957733</c:v>
                </c:pt>
                <c:pt idx="2">
                  <c:v>0.553314121037464</c:v>
                </c:pt>
                <c:pt idx="3">
                  <c:v>0.992795389048991</c:v>
                </c:pt>
                <c:pt idx="4">
                  <c:v>0.999039385206532</c:v>
                </c:pt>
                <c:pt idx="5">
                  <c:v>1</c:v>
                </c:pt>
                <c:pt idx="6">
                  <c:v>0.8611911623439</c:v>
                </c:pt>
                <c:pt idx="7">
                  <c:v>0.961095100864553</c:v>
                </c:pt>
                <c:pt idx="8">
                  <c:v>0.99759846301633</c:v>
                </c:pt>
                <c:pt idx="9">
                  <c:v>0.992315081652257</c:v>
                </c:pt>
                <c:pt idx="10">
                  <c:v>0.0384245917387128</c:v>
                </c:pt>
              </c:numCache>
            </c:numRef>
          </c:val>
        </c:ser>
        <c:ser>
          <c:idx val="2"/>
          <c:order val="2"/>
          <c:tx>
            <c:strRef>
              <c:f>Sheet5!$E$2</c:f>
              <c:strCache>
                <c:ptCount val="1"/>
                <c:pt idx="0">
                  <c:v>Patient_activation_ratio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Sheet5!$B$3:$B$13</c:f>
              <c:strCache>
                <c:ptCount val="11"/>
                <c:pt idx="0">
                  <c:v>HEX1</c:v>
                </c:pt>
                <c:pt idx="1">
                  <c:v>GPI</c:v>
                </c:pt>
                <c:pt idx="2">
                  <c:v>PFK</c:v>
                </c:pt>
                <c:pt idx="3">
                  <c:v>FBA</c:v>
                </c:pt>
                <c:pt idx="4">
                  <c:v>TPI1</c:v>
                </c:pt>
                <c:pt idx="5">
                  <c:v>GAPD</c:v>
                </c:pt>
                <c:pt idx="6">
                  <c:v>PGK</c:v>
                </c:pt>
                <c:pt idx="7">
                  <c:v>PGM</c:v>
                </c:pt>
                <c:pt idx="8">
                  <c:v>ENO</c:v>
                </c:pt>
                <c:pt idx="9">
                  <c:v>PYK</c:v>
                </c:pt>
                <c:pt idx="10">
                  <c:v>Whole_pathway</c:v>
                </c:pt>
              </c:strCache>
            </c:strRef>
          </c:cat>
          <c:val>
            <c:numRef>
              <c:f>Sheet5!$E$3:$E$13</c:f>
              <c:numCache>
                <c:formatCode>General</c:formatCode>
                <c:ptCount val="11"/>
                <c:pt idx="0">
                  <c:v>0.0534918276374443</c:v>
                </c:pt>
                <c:pt idx="1">
                  <c:v>0.111441307578009</c:v>
                </c:pt>
                <c:pt idx="2">
                  <c:v>0.172362555720654</c:v>
                </c:pt>
                <c:pt idx="3">
                  <c:v>0.518573551263001</c:v>
                </c:pt>
                <c:pt idx="4">
                  <c:v>0.570579494799406</c:v>
                </c:pt>
                <c:pt idx="5">
                  <c:v>0.864784546805349</c:v>
                </c:pt>
                <c:pt idx="6">
                  <c:v>0.421991084695394</c:v>
                </c:pt>
                <c:pt idx="7">
                  <c:v>0.313521545319465</c:v>
                </c:pt>
                <c:pt idx="8">
                  <c:v>0.508172362555721</c:v>
                </c:pt>
                <c:pt idx="9">
                  <c:v>0.393759286775632</c:v>
                </c:pt>
                <c:pt idx="10">
                  <c:v>0.00742942050520057</c:v>
                </c:pt>
              </c:numCache>
            </c:numRef>
          </c:val>
        </c:ser>
        <c:ser>
          <c:idx val="3"/>
          <c:order val="3"/>
          <c:tx>
            <c:strRef>
              <c:f>Sheet5!$F$2</c:f>
              <c:strCache>
                <c:ptCount val="1"/>
                <c:pt idx="0">
                  <c:v>Non-cancerous_activation_ratio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Sheet5!$B$3:$B$13</c:f>
              <c:strCache>
                <c:ptCount val="11"/>
                <c:pt idx="0">
                  <c:v>HEX1</c:v>
                </c:pt>
                <c:pt idx="1">
                  <c:v>GPI</c:v>
                </c:pt>
                <c:pt idx="2">
                  <c:v>PFK</c:v>
                </c:pt>
                <c:pt idx="3">
                  <c:v>FBA</c:v>
                </c:pt>
                <c:pt idx="4">
                  <c:v>TPI1</c:v>
                </c:pt>
                <c:pt idx="5">
                  <c:v>GAPD</c:v>
                </c:pt>
                <c:pt idx="6">
                  <c:v>PGK</c:v>
                </c:pt>
                <c:pt idx="7">
                  <c:v>PGM</c:v>
                </c:pt>
                <c:pt idx="8">
                  <c:v>ENO</c:v>
                </c:pt>
                <c:pt idx="9">
                  <c:v>PYK</c:v>
                </c:pt>
                <c:pt idx="10">
                  <c:v>Whole_pathway</c:v>
                </c:pt>
              </c:strCache>
            </c:strRef>
          </c:cat>
          <c:val>
            <c:numRef>
              <c:f>Sheet5!$F$3:$F$13</c:f>
              <c:numCache>
                <c:formatCode>General</c:formatCode>
                <c:ptCount val="11"/>
                <c:pt idx="0">
                  <c:v>0.12614063338701</c:v>
                </c:pt>
                <c:pt idx="1">
                  <c:v>0.09447128287708</c:v>
                </c:pt>
                <c:pt idx="2">
                  <c:v>0.144927536231884</c:v>
                </c:pt>
                <c:pt idx="3">
                  <c:v>0.624798711755233</c:v>
                </c:pt>
                <c:pt idx="4">
                  <c:v>0.487385936661299</c:v>
                </c:pt>
                <c:pt idx="5">
                  <c:v>0.85077831454643</c:v>
                </c:pt>
                <c:pt idx="6">
                  <c:v>0.478260869565217</c:v>
                </c:pt>
                <c:pt idx="7">
                  <c:v>0.369296833064949</c:v>
                </c:pt>
                <c:pt idx="8">
                  <c:v>0.511003757380569</c:v>
                </c:pt>
                <c:pt idx="9">
                  <c:v>0.436392914653784</c:v>
                </c:pt>
                <c:pt idx="10">
                  <c:v>0.00161030595813205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84033"/>
        <c:axId val="623290654"/>
      </c:barChart>
      <c:catAx>
        <c:axId val="1549840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290654"/>
        <c:crosses val="autoZero"/>
        <c:auto val="1"/>
        <c:lblAlgn val="ctr"/>
        <c:lblOffset val="100"/>
        <c:noMultiLvlLbl val="0"/>
      </c:catAx>
      <c:valAx>
        <c:axId val="6232906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9840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6b2d05-1f0c-4d99-a875-3c223e2330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554355</xdr:colOff>
      <xdr:row>3</xdr:row>
      <xdr:rowOff>50165</xdr:rowOff>
    </xdr:from>
    <xdr:to>
      <xdr:col>12</xdr:col>
      <xdr:colOff>713105</xdr:colOff>
      <xdr:row>18</xdr:row>
      <xdr:rowOff>126365</xdr:rowOff>
    </xdr:to>
    <xdr:graphicFrame>
      <xdr:nvGraphicFramePr>
        <xdr:cNvPr id="2" name="Chart 1"/>
        <xdr:cNvGraphicFramePr/>
      </xdr:nvGraphicFramePr>
      <xdr:xfrm>
        <a:off x="5547995" y="1124585"/>
        <a:ext cx="3926205" cy="327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H5" sqref="H5"/>
    </sheetView>
  </sheetViews>
  <sheetFormatPr defaultColWidth="9" defaultRowHeight="16.8" outlineLevelCol="4"/>
  <cols>
    <col min="2" max="2" width="11.7142857142857" customWidth="1"/>
    <col min="3" max="3" width="12.7857142857143"/>
    <col min="4" max="4" width="11.0714285714286" customWidth="1"/>
    <col min="5" max="5" width="12.7857142857143"/>
  </cols>
  <sheetData>
    <row r="1" ht="50" customHeight="1" spans="1: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>
      <c r="A2" s="13">
        <v>0</v>
      </c>
      <c r="B2" s="13">
        <v>0</v>
      </c>
      <c r="C2" s="6">
        <v>0</v>
      </c>
      <c r="D2" s="6">
        <v>0.062407132243685</v>
      </c>
      <c r="E2" s="6">
        <f>37/1863</f>
        <v>0.0198604401502952</v>
      </c>
    </row>
    <row r="3" spans="1:5">
      <c r="A3" s="13">
        <v>1</v>
      </c>
      <c r="B3" s="13">
        <v>0</v>
      </c>
      <c r="C3" s="6">
        <v>0</v>
      </c>
      <c r="D3" s="6">
        <v>0.11887072808321</v>
      </c>
      <c r="E3" s="6">
        <f>154/1863</f>
        <v>0.082662372517445</v>
      </c>
    </row>
    <row r="4" spans="1:5">
      <c r="A4" s="13">
        <v>2</v>
      </c>
      <c r="B4" s="13">
        <v>0</v>
      </c>
      <c r="C4" s="6">
        <v>0</v>
      </c>
      <c r="D4" s="6">
        <v>0.12630014858841</v>
      </c>
      <c r="E4" s="6">
        <f>215/1863</f>
        <v>0.115405260332797</v>
      </c>
    </row>
    <row r="5" spans="1:5">
      <c r="A5" s="13">
        <v>3</v>
      </c>
      <c r="B5" s="13">
        <v>0</v>
      </c>
      <c r="C5" s="6">
        <v>0.00048030739673391</v>
      </c>
      <c r="D5" s="6">
        <v>0.135215453194651</v>
      </c>
      <c r="E5" s="6">
        <f>351/1863</f>
        <v>0.188405797101449</v>
      </c>
    </row>
    <row r="6" spans="1:5">
      <c r="A6" s="13">
        <v>4</v>
      </c>
      <c r="B6" s="13">
        <f>4/894</f>
        <v>0.00447427293064877</v>
      </c>
      <c r="C6" s="6">
        <v>0.00048030739673391</v>
      </c>
      <c r="D6" s="6">
        <v>0.157503714710253</v>
      </c>
      <c r="E6" s="6">
        <f>328/1863</f>
        <v>0.176060118089104</v>
      </c>
    </row>
    <row r="7" spans="1:5">
      <c r="A7" s="13">
        <v>5</v>
      </c>
      <c r="B7" s="13">
        <f>8/894</f>
        <v>0.00894854586129754</v>
      </c>
      <c r="C7" s="6">
        <v>0.0115273775216138</v>
      </c>
      <c r="D7" s="6">
        <v>0.13075780089153</v>
      </c>
      <c r="E7" s="6">
        <f>309/1863</f>
        <v>0.165861513687601</v>
      </c>
    </row>
    <row r="8" spans="1:5">
      <c r="A8" s="13">
        <v>6</v>
      </c>
      <c r="B8" s="13">
        <f>29/894</f>
        <v>0.0324384787472036</v>
      </c>
      <c r="C8" s="6">
        <v>0.0658021133525456</v>
      </c>
      <c r="D8" s="6">
        <v>0.12035661218425</v>
      </c>
      <c r="E8" s="6">
        <f>232/1863</f>
        <v>0.124530327428878</v>
      </c>
    </row>
    <row r="9" spans="1:5">
      <c r="A9" s="13">
        <v>7</v>
      </c>
      <c r="B9" s="13">
        <f>111/894</f>
        <v>0.124161073825503</v>
      </c>
      <c r="C9" s="6">
        <v>0.265129682997118</v>
      </c>
      <c r="D9" s="6">
        <v>0.0772659732540862</v>
      </c>
      <c r="E9" s="6">
        <f>136/1863</f>
        <v>0.0730005367686527</v>
      </c>
    </row>
    <row r="10" spans="1:5">
      <c r="A10" s="13">
        <v>8</v>
      </c>
      <c r="B10" s="13">
        <f>274/894</f>
        <v>0.306487695749441</v>
      </c>
      <c r="C10" s="6">
        <v>0.393852065321806</v>
      </c>
      <c r="D10" s="6">
        <v>0.0445765230312036</v>
      </c>
      <c r="E10" s="6">
        <f>68/1863</f>
        <v>0.0365002683843264</v>
      </c>
    </row>
    <row r="11" spans="1:5">
      <c r="A11" s="13">
        <v>9</v>
      </c>
      <c r="B11" s="13">
        <f>332/894</f>
        <v>0.371364653243848</v>
      </c>
      <c r="C11" s="6">
        <v>0.224303554274736</v>
      </c>
      <c r="D11" s="6">
        <v>0.0193164933135215</v>
      </c>
      <c r="E11" s="6">
        <f>30/1863</f>
        <v>0.0161030595813204</v>
      </c>
    </row>
    <row r="12" spans="1:5">
      <c r="A12" s="13">
        <v>10</v>
      </c>
      <c r="B12" s="13">
        <f>136/894</f>
        <v>0.152125279642058</v>
      </c>
      <c r="C12" s="6">
        <v>0.0384245917387128</v>
      </c>
      <c r="D12" s="6">
        <v>0.00742942050520059</v>
      </c>
      <c r="E12" s="6">
        <f>3/1863</f>
        <v>0.00161030595813205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G14" sqref="G14"/>
    </sheetView>
  </sheetViews>
  <sheetFormatPr defaultColWidth="9" defaultRowHeight="16.8" outlineLevelCol="4"/>
  <cols>
    <col min="2" max="5" width="12.7857142857143"/>
  </cols>
  <sheetData>
    <row r="1" ht="34" spans="1: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</row>
    <row r="2" ht="17" spans="1:5">
      <c r="A2" s="10" t="s">
        <v>10</v>
      </c>
      <c r="B2" s="7">
        <v>0.387024608501119</v>
      </c>
      <c r="C2" s="7">
        <v>0.122478386167147</v>
      </c>
      <c r="D2" s="7">
        <v>0.0534918276374443</v>
      </c>
      <c r="E2" s="7">
        <v>0.12614063338701</v>
      </c>
    </row>
    <row r="3" ht="17" spans="1:5">
      <c r="A3" s="11" t="s">
        <v>11</v>
      </c>
      <c r="B3" s="7">
        <v>0.79082774049217</v>
      </c>
      <c r="C3" s="7">
        <v>0.38568683957733</v>
      </c>
      <c r="D3" s="7">
        <v>0.111441307578009</v>
      </c>
      <c r="E3" s="7">
        <v>0.09447128287708</v>
      </c>
    </row>
    <row r="4" ht="17" spans="1:5">
      <c r="A4" s="10" t="s">
        <v>12</v>
      </c>
      <c r="B4" s="7">
        <v>0.473154362416107</v>
      </c>
      <c r="C4" s="7">
        <v>0.553314121037464</v>
      </c>
      <c r="D4" s="7">
        <v>0.172362555720654</v>
      </c>
      <c r="E4" s="7">
        <v>0.144927536231884</v>
      </c>
    </row>
    <row r="5" ht="17" spans="1:5">
      <c r="A5" s="11" t="s">
        <v>13</v>
      </c>
      <c r="B5" s="7">
        <v>0.98993288590604</v>
      </c>
      <c r="C5" s="7">
        <v>0.992795389048991</v>
      </c>
      <c r="D5" s="7">
        <v>0.518573551263001</v>
      </c>
      <c r="E5" s="7">
        <v>0.624798711755233</v>
      </c>
    </row>
    <row r="6" ht="17" spans="1:5">
      <c r="A6" s="10" t="s">
        <v>14</v>
      </c>
      <c r="B6" s="7">
        <v>0.998881431767338</v>
      </c>
      <c r="C6" s="7">
        <v>0.999039385206532</v>
      </c>
      <c r="D6" s="7">
        <v>0.570579494799406</v>
      </c>
      <c r="E6" s="7">
        <v>0.487385936661299</v>
      </c>
    </row>
    <row r="7" ht="17" spans="1:5">
      <c r="A7" s="11" t="s">
        <v>15</v>
      </c>
      <c r="B7" s="7">
        <v>1</v>
      </c>
      <c r="C7" s="7">
        <v>1</v>
      </c>
      <c r="D7" s="7">
        <v>0.864784546805349</v>
      </c>
      <c r="E7" s="7">
        <v>0.85077831454643</v>
      </c>
    </row>
    <row r="8" ht="17" spans="1:5">
      <c r="A8" s="10" t="s">
        <v>16</v>
      </c>
      <c r="B8" s="7">
        <v>0.894854586129754</v>
      </c>
      <c r="C8" s="7">
        <v>0.8611911623439</v>
      </c>
      <c r="D8" s="7">
        <v>0.421991084695394</v>
      </c>
      <c r="E8" s="7">
        <v>0.478260869565217</v>
      </c>
    </row>
    <row r="9" ht="17" spans="1:5">
      <c r="A9" s="11" t="s">
        <v>17</v>
      </c>
      <c r="B9" s="7">
        <v>0.930648769574944</v>
      </c>
      <c r="C9" s="7">
        <v>0.961095100864553</v>
      </c>
      <c r="D9" s="7">
        <v>0.313521545319465</v>
      </c>
      <c r="E9" s="7">
        <v>0.369296833064949</v>
      </c>
    </row>
    <row r="10" ht="17" spans="1:5">
      <c r="A10" s="10" t="s">
        <v>18</v>
      </c>
      <c r="B10" s="7">
        <v>0.994407158836689</v>
      </c>
      <c r="C10" s="7">
        <v>0.99759846301633</v>
      </c>
      <c r="D10" s="7">
        <v>0.508172362555721</v>
      </c>
      <c r="E10" s="7">
        <v>0.511003757380569</v>
      </c>
    </row>
    <row r="11" ht="17" spans="1:5">
      <c r="A11" s="11" t="s">
        <v>19</v>
      </c>
      <c r="B11" s="7">
        <v>0.982102908277405</v>
      </c>
      <c r="C11" s="7">
        <v>0.992315081652257</v>
      </c>
      <c r="D11" s="7">
        <v>0.393759286775632</v>
      </c>
      <c r="E11" s="7">
        <v>0.436392914653784</v>
      </c>
    </row>
    <row r="12" spans="1:5">
      <c r="A12" s="6" t="s">
        <v>20</v>
      </c>
      <c r="B12" s="7">
        <v>0.152125279642058</v>
      </c>
      <c r="C12" s="7">
        <v>0.0384245917387128</v>
      </c>
      <c r="D12" s="7">
        <v>0.00742942050520057</v>
      </c>
      <c r="E12" s="7">
        <v>0.00161030595813205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5"/>
  <sheetViews>
    <sheetView workbookViewId="0">
      <selection activeCell="P4" sqref="P4"/>
    </sheetView>
  </sheetViews>
  <sheetFormatPr defaultColWidth="9" defaultRowHeight="16.8"/>
  <cols>
    <col min="2" max="2" width="13.7946428571429" customWidth="1"/>
    <col min="3" max="3" width="11.5892857142857" customWidth="1"/>
    <col min="4" max="4" width="10.9375" customWidth="1"/>
    <col min="5" max="5" width="12.1071428571429" customWidth="1"/>
    <col min="6" max="6" width="12.7857142857143"/>
  </cols>
  <sheetData>
    <row r="2" s="4" customFormat="1" ht="51" spans="2:9">
      <c r="B2" s="5" t="s">
        <v>5</v>
      </c>
      <c r="C2" s="5" t="s">
        <v>21</v>
      </c>
      <c r="D2" s="5" t="s">
        <v>22</v>
      </c>
      <c r="E2" s="5" t="s">
        <v>23</v>
      </c>
      <c r="F2" s="5" t="s">
        <v>24</v>
      </c>
    </row>
    <row r="3" spans="2:9">
      <c r="B3" s="6" t="s">
        <v>25</v>
      </c>
      <c r="C3" s="7">
        <v>0.387024608501119</v>
      </c>
      <c r="D3" s="7">
        <v>0.122478386167147</v>
      </c>
      <c r="E3" s="7">
        <v>0.0534918276374443</v>
      </c>
      <c r="F3" s="7">
        <v>0.12614063338701</v>
      </c>
      <c r="H3" s="8"/>
      <c r="I3" s="8"/>
    </row>
    <row r="4" spans="2:9">
      <c r="B4" s="9" t="s">
        <v>11</v>
      </c>
      <c r="C4" s="7">
        <v>0.79082774049217</v>
      </c>
      <c r="D4" s="7">
        <v>0.38568683957733</v>
      </c>
      <c r="E4" s="7">
        <v>0.111441307578009</v>
      </c>
      <c r="F4" s="7">
        <v>0.09447128287708</v>
      </c>
      <c r="H4" s="8"/>
      <c r="I4" s="8"/>
    </row>
    <row r="5" spans="2:9">
      <c r="B5" s="6" t="s">
        <v>12</v>
      </c>
      <c r="C5" s="7">
        <v>0.473154362416107</v>
      </c>
      <c r="D5" s="7">
        <v>0.553314121037464</v>
      </c>
      <c r="E5" s="7">
        <v>0.172362555720654</v>
      </c>
      <c r="F5" s="7">
        <v>0.144927536231884</v>
      </c>
      <c r="H5" s="8"/>
      <c r="I5" s="8"/>
    </row>
    <row r="6" spans="2:9">
      <c r="B6" s="9" t="s">
        <v>26</v>
      </c>
      <c r="C6" s="7">
        <v>0.98993288590604</v>
      </c>
      <c r="D6" s="7">
        <v>0.992795389048991</v>
      </c>
      <c r="E6" s="7">
        <v>0.518573551263001</v>
      </c>
      <c r="F6" s="7">
        <v>0.624798711755233</v>
      </c>
      <c r="H6" s="8"/>
      <c r="I6" s="8"/>
    </row>
    <row r="7" spans="2:9">
      <c r="B7" s="6" t="s">
        <v>14</v>
      </c>
      <c r="C7" s="7">
        <v>0.998881431767338</v>
      </c>
      <c r="D7" s="7">
        <v>0.999039385206532</v>
      </c>
      <c r="E7" s="7">
        <v>0.570579494799406</v>
      </c>
      <c r="F7" s="7">
        <v>0.487385936661299</v>
      </c>
      <c r="H7" s="8"/>
      <c r="I7" s="8"/>
    </row>
    <row r="8" spans="2:9">
      <c r="B8" s="9" t="s">
        <v>27</v>
      </c>
      <c r="C8" s="7">
        <v>1</v>
      </c>
      <c r="D8" s="7">
        <v>1</v>
      </c>
      <c r="E8" s="7">
        <v>0.864784546805349</v>
      </c>
      <c r="F8" s="7">
        <v>0.85077831454643</v>
      </c>
      <c r="H8" s="8"/>
      <c r="I8" s="8"/>
    </row>
    <row r="9" spans="2:9">
      <c r="B9" s="6" t="s">
        <v>16</v>
      </c>
      <c r="C9" s="7">
        <v>0.894854586129754</v>
      </c>
      <c r="D9" s="7">
        <v>0.8611911623439</v>
      </c>
      <c r="E9" s="7">
        <v>0.421991084695394</v>
      </c>
      <c r="F9" s="7">
        <v>0.478260869565217</v>
      </c>
      <c r="H9" s="8"/>
      <c r="I9" s="8"/>
    </row>
    <row r="10" spans="2:9">
      <c r="B10" s="9" t="s">
        <v>28</v>
      </c>
      <c r="C10" s="7">
        <v>0.930648769574944</v>
      </c>
      <c r="D10" s="7">
        <v>0.961095100864553</v>
      </c>
      <c r="E10" s="7">
        <v>0.313521545319465</v>
      </c>
      <c r="F10" s="7">
        <v>0.369296833064949</v>
      </c>
      <c r="H10" s="8"/>
      <c r="I10" s="8"/>
    </row>
    <row r="11" spans="2:9">
      <c r="B11" s="6" t="s">
        <v>18</v>
      </c>
      <c r="C11" s="7">
        <v>0.994407158836689</v>
      </c>
      <c r="D11" s="7">
        <v>0.99759846301633</v>
      </c>
      <c r="E11" s="7">
        <v>0.508172362555721</v>
      </c>
      <c r="F11" s="7">
        <v>0.511003757380569</v>
      </c>
      <c r="H11" s="8"/>
      <c r="I11" s="8"/>
    </row>
    <row r="12" spans="2:9">
      <c r="B12" s="9" t="s">
        <v>19</v>
      </c>
      <c r="C12" s="7">
        <v>0.982102908277405</v>
      </c>
      <c r="D12" s="7">
        <v>0.992315081652257</v>
      </c>
      <c r="E12" s="7">
        <v>0.393759286775632</v>
      </c>
      <c r="F12" s="7">
        <v>0.436392914653784</v>
      </c>
      <c r="H12" s="8"/>
      <c r="I12" s="8"/>
    </row>
    <row r="13" spans="2:9">
      <c r="B13" s="6" t="s">
        <v>20</v>
      </c>
      <c r="C13" s="7">
        <v>0.152125279642058</v>
      </c>
      <c r="D13" s="7">
        <v>0.0384245917387128</v>
      </c>
      <c r="E13" s="7">
        <v>0.00742942050520057</v>
      </c>
      <c r="F13" s="7">
        <v>0.00161030595813205</v>
      </c>
    </row>
    <row r="14" spans="2:9">
      <c r="B14" s="6"/>
      <c r="C14" s="6"/>
      <c r="D14" s="6"/>
      <c r="E14" s="6"/>
      <c r="F14" s="7"/>
    </row>
    <row r="15" spans="2:9">
      <c r="B15" s="6" t="s">
        <v>20</v>
      </c>
      <c r="C15" s="6">
        <v>0.1521</v>
      </c>
      <c r="D15" s="6">
        <v>0.0379</v>
      </c>
      <c r="E15" s="6">
        <v>0.0074</v>
      </c>
      <c r="F15" s="7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2" sqref="$A12:$XFD12"/>
    </sheetView>
  </sheetViews>
  <sheetFormatPr defaultColWidth="9" defaultRowHeight="16.8" outlineLevelCol="1"/>
  <sheetData>
    <row r="1" ht="68" spans="1:2">
      <c r="A1" s="1" t="s">
        <v>0</v>
      </c>
      <c r="B1" s="1" t="s">
        <v>1</v>
      </c>
    </row>
    <row r="2" spans="1:2">
      <c r="A2" s="2">
        <v>0</v>
      </c>
      <c r="B2" s="2">
        <v>0</v>
      </c>
    </row>
    <row r="3" spans="1:2">
      <c r="A3" s="2">
        <v>1</v>
      </c>
      <c r="B3" s="2">
        <v>0</v>
      </c>
    </row>
    <row r="4" spans="1:2">
      <c r="A4" s="2">
        <v>2</v>
      </c>
      <c r="B4" s="2">
        <v>0</v>
      </c>
    </row>
    <row r="5" spans="1:2">
      <c r="A5" s="2">
        <v>3</v>
      </c>
      <c r="B5" s="2">
        <v>0</v>
      </c>
    </row>
    <row r="6" spans="1:2">
      <c r="A6" s="2">
        <v>4</v>
      </c>
      <c r="B6" s="2">
        <f>4/894</f>
        <v>0.00447427293064877</v>
      </c>
    </row>
    <row r="7" spans="1:2">
      <c r="A7" s="2">
        <v>5</v>
      </c>
      <c r="B7" s="2">
        <f>8/894</f>
        <v>0.00894854586129754</v>
      </c>
    </row>
    <row r="8" spans="1:2">
      <c r="A8" s="2">
        <v>6</v>
      </c>
      <c r="B8" s="2">
        <f>29/894</f>
        <v>0.0324384787472036</v>
      </c>
    </row>
    <row r="9" spans="1:2">
      <c r="A9" s="2">
        <v>7</v>
      </c>
      <c r="B9" s="2">
        <f>111/894</f>
        <v>0.124161073825503</v>
      </c>
    </row>
    <row r="10" spans="1:2">
      <c r="A10" s="2">
        <v>8</v>
      </c>
      <c r="B10" s="2">
        <f>274/894</f>
        <v>0.306487695749441</v>
      </c>
    </row>
    <row r="11" spans="1:2">
      <c r="A11" s="2">
        <v>9</v>
      </c>
      <c r="B11" s="2">
        <f>332/894</f>
        <v>0.371364653243848</v>
      </c>
    </row>
    <row r="12" spans="1:2">
      <c r="A12" s="2">
        <v>10</v>
      </c>
      <c r="B12" s="2">
        <f>136/894</f>
        <v>0.152125279642058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" sqref="A1:B12"/>
    </sheetView>
  </sheetViews>
  <sheetFormatPr defaultColWidth="9" defaultRowHeight="16.8" outlineLevelCol="1"/>
  <cols>
    <col min="2" max="2" width="12.3571428571429" customWidth="1"/>
  </cols>
  <sheetData>
    <row r="1" ht="51" spans="1:2">
      <c r="A1" s="1" t="s">
        <v>0</v>
      </c>
      <c r="B1" s="1" t="s">
        <v>2</v>
      </c>
    </row>
    <row r="2" spans="1:2">
      <c r="A2" s="2">
        <v>0</v>
      </c>
      <c r="B2" s="3">
        <v>0</v>
      </c>
    </row>
    <row r="3" spans="1:2">
      <c r="A3" s="2">
        <v>1</v>
      </c>
      <c r="B3" s="3">
        <v>0</v>
      </c>
    </row>
    <row r="4" spans="1:2">
      <c r="A4" s="2">
        <v>2</v>
      </c>
      <c r="B4" s="3">
        <v>0</v>
      </c>
    </row>
    <row r="5" spans="1:2">
      <c r="A5" s="2">
        <v>3</v>
      </c>
      <c r="B5" s="3">
        <v>0.00048030739673391</v>
      </c>
    </row>
    <row r="6" spans="1:2">
      <c r="A6" s="2">
        <v>4</v>
      </c>
      <c r="B6" s="3">
        <v>0.00048030739673391</v>
      </c>
    </row>
    <row r="7" spans="1:2">
      <c r="A7" s="2">
        <v>5</v>
      </c>
      <c r="B7" s="3">
        <v>0.0115273775216138</v>
      </c>
    </row>
    <row r="8" spans="1:2">
      <c r="A8" s="2">
        <v>6</v>
      </c>
      <c r="B8" s="3">
        <v>0.0658021133525456</v>
      </c>
    </row>
    <row r="9" spans="1:2">
      <c r="A9" s="2">
        <v>7</v>
      </c>
      <c r="B9" s="3">
        <v>0.265129682997118</v>
      </c>
    </row>
    <row r="10" spans="1:2">
      <c r="A10" s="2">
        <v>8</v>
      </c>
      <c r="B10" s="3">
        <v>0.393852065321806</v>
      </c>
    </row>
    <row r="11" spans="1:2">
      <c r="A11" s="2">
        <v>9</v>
      </c>
      <c r="B11" s="3">
        <v>0.224303554274736</v>
      </c>
    </row>
    <row r="12" spans="1:2">
      <c r="A12" s="2">
        <v>10</v>
      </c>
      <c r="B12" s="3">
        <v>0.0384245917387128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G20" sqref="G20"/>
    </sheetView>
  </sheetViews>
  <sheetFormatPr defaultColWidth="9" defaultRowHeight="16.8" outlineLevelCol="1"/>
  <cols>
    <col min="2" max="2" width="14.3125" customWidth="1"/>
  </cols>
  <sheetData>
    <row r="1" ht="50" customHeight="1" spans="1:2">
      <c r="A1" s="1" t="s">
        <v>0</v>
      </c>
      <c r="B1" s="1" t="s">
        <v>3</v>
      </c>
    </row>
    <row r="2" spans="1:2">
      <c r="A2" s="2">
        <v>0</v>
      </c>
      <c r="B2" s="3">
        <v>0.062407132243685</v>
      </c>
    </row>
    <row r="3" spans="1:2">
      <c r="A3" s="2">
        <v>1</v>
      </c>
      <c r="B3" s="3">
        <v>0.11887072808321</v>
      </c>
    </row>
    <row r="4" spans="1:2">
      <c r="A4" s="2">
        <v>2</v>
      </c>
      <c r="B4" s="3">
        <v>0.12630014858841</v>
      </c>
    </row>
    <row r="5" spans="1:2">
      <c r="A5" s="2">
        <v>3</v>
      </c>
      <c r="B5" s="3">
        <v>0.135215453194651</v>
      </c>
    </row>
    <row r="6" spans="1:2">
      <c r="A6" s="2">
        <v>4</v>
      </c>
      <c r="B6" s="3">
        <v>0.157503714710253</v>
      </c>
    </row>
    <row r="7" spans="1:2">
      <c r="A7" s="2">
        <v>5</v>
      </c>
      <c r="B7" s="3">
        <v>0.13075780089153</v>
      </c>
    </row>
    <row r="8" spans="1:2">
      <c r="A8" s="2">
        <v>6</v>
      </c>
      <c r="B8" s="3">
        <v>0.12035661218425</v>
      </c>
    </row>
    <row r="9" spans="1:2">
      <c r="A9" s="2">
        <v>7</v>
      </c>
      <c r="B9" s="3">
        <v>0.0772659732540862</v>
      </c>
    </row>
    <row r="10" spans="1:2">
      <c r="A10" s="2">
        <v>8</v>
      </c>
      <c r="B10" s="3">
        <v>0.0445765230312036</v>
      </c>
    </row>
    <row r="11" spans="1:2">
      <c r="A11" s="2">
        <v>9</v>
      </c>
      <c r="B11" s="3">
        <v>0.0193164933135215</v>
      </c>
    </row>
    <row r="12" spans="1:2">
      <c r="A12" s="2">
        <v>10</v>
      </c>
      <c r="B12" s="3">
        <v>0.00742942050520059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Sheet5</vt:lpstr>
      <vt:lpstr>Glycolysis_enzyme_Huh1</vt:lpstr>
      <vt:lpstr>Glycolysis_enzyme_Huh7</vt:lpstr>
      <vt:lpstr>Glycolysis_enzyme_Patient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nalgh</dc:creator>
  <cp:lastModifiedBy>Willow</cp:lastModifiedBy>
  <dcterms:created xsi:type="dcterms:W3CDTF">2021-03-22T14:28:00Z</dcterms:created>
  <dcterms:modified xsi:type="dcterms:W3CDTF">2026-04-30T18:57:31Z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11DF5CA009FC131D0717F3699F0566AF_42</vt:lpwstr>
  </property>
  <property fmtid="{D5CDD505-2E9C-101B-9397-08002B2CF9AE}" pid="4" name="CalculationRule">
    <vt:i4>0</vt:i4>
  </property>
</Properties>
</file>